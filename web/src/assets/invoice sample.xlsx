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<sst xmlns="http://schemas.openxmlformats.org/spreadsheetml/2006/main" count="41" uniqueCount="37">
  <si>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EMPOWER HUB</t>
  </si>
  <si>
    <t>ABN:  42 679 637 426</t>
  </si>
  <si>
    <t>TAX INVOICE</t>
  </si>
  <si>
    <t>UNIT FGL-Office,1/385 Sherwood Rd ROCKLEA</t>
  </si>
  <si>
    <t>Invoice Number:</t>
  </si>
  <si>
    <t>INV-260116</t>
  </si>
  <si>
    <t>QLD 4106</t>
  </si>
  <si>
    <t>Date:</t>
  </si>
  <si>
    <t>16/01/2026</t>
  </si>
  <si>
    <t>M: 0422 850 299</t>
  </si>
  <si>
    <t>admin@mail.empowerhub.com.au</t>
  </si>
  <si>
    <t>Bill to:</t>
  </si>
  <si>
    <t>Participant :</t>
  </si>
  <si>
    <t>QI RUI ZHANG</t>
  </si>
  <si>
    <t xml:space="preserve">NDIS NUMBER: </t>
  </si>
  <si>
    <r>
      <rPr>
        <b/>
        <sz val="9"/>
        <rFont val="Arial"/>
        <charset val="134"/>
      </rPr>
      <t>Description</t>
    </r>
  </si>
  <si>
    <t>Code</t>
  </si>
  <si>
    <t>price</t>
  </si>
  <si>
    <t>Amount</t>
  </si>
  <si>
    <r>
      <rPr>
        <b/>
        <sz val="9"/>
        <rFont val="Arial"/>
        <charset val="134"/>
      </rPr>
      <t>Amount AUD</t>
    </r>
  </si>
  <si>
    <t>Access Community Social And Rec Activity Date/Time:2/1/2026 0900-1200</t>
  </si>
  <si>
    <t>04_104_0125_6_1</t>
  </si>
  <si>
    <t>Access Community Social And Rec Activity Date/Time:5/1/2026 1330-1630</t>
  </si>
  <si>
    <t>Access Community Social And Rec Activity Date/Time:7/1/20261330-1630</t>
  </si>
  <si>
    <t>Access Community Social And Rec Activity Date/Time:10/1/2026 0930-1230</t>
  </si>
  <si>
    <t>Access Community Social And Rec Activity Date/Time: 13/1/2026  0900-1200</t>
  </si>
  <si>
    <t>04_105_0125_6_1</t>
  </si>
  <si>
    <t>Access Community Social And Rec Activity Date/Time: 15/1/2026 1330-1630</t>
  </si>
  <si>
    <t>TOTAL</t>
  </si>
  <si>
    <t xml:space="preserve">Australia and New Zealand Banking Group Limited (ANZ Bank)  </t>
  </si>
  <si>
    <t xml:space="preserve">branch location： Sh 1 Underwood Market Place, Underwood, QLD 4119 </t>
  </si>
  <si>
    <t>Account name:</t>
  </si>
  <si>
    <t>EMPOWER HUB PTY LTD</t>
  </si>
  <si>
    <t>BSB: 014-257</t>
  </si>
  <si>
    <t>Account: 664012151</t>
  </si>
  <si>
    <t>PAYMENT ADVICE</t>
  </si>
  <si>
    <t>Client Paid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</si>
</sst>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______@"/>
    <numFmt numFmtId="177" formatCode="__@"/>
    <numFmt numFmtId="178" formatCode="#,##0.00_ "/>
    <numFmt numFmtId="179" formatCode="#,##0_ "/>
  </numFmts>
  <fonts count="36">
    <font>
      <sz val="11"/>
      <color theme="1"/>
      <name val="等线"/>
      <charset val="134"/>
      <scheme val="minor"/>
    </font>
    <font>
      <b/>
      <sz val="9"/>
      <name val="Arial"/>
      <charset val="134"/>
    </font>
    <font>
      <b/>
      <sz val="20"/>
      <color theme="1"/>
      <name val="Dreaming Outloud Pro"/>
      <charset val="134"/>
    </font>
    <font>
      <sz val="11"/>
      <color theme="1"/>
      <name val="Dreaming Outloud Pro"/>
      <charset val="134"/>
    </font>
    <font>
      <b/>
      <sz val="16"/>
      <color theme="1"/>
      <name val="Dreaming Outloud Pro"/>
      <charset val="134"/>
    </font>
    <font>
      <u/>
      <sz val="11"/>
      <color rgb="FF800080"/>
      <name val="Dreaming Outloud Pro"/>
      <charset val="134"/>
    </font>
    <font>
      <b/>
      <sz val="11"/>
      <color theme="1"/>
      <name val="等线"/>
      <charset val="134"/>
      <scheme val="minor"/>
    </font>
    <font>
      <sz val="9"/>
      <name val="Arial"/>
      <charset val="134"/>
    </font>
    <font>
      <sz val="9"/>
      <color rgb="FF000000"/>
      <name val="Arial"/>
      <charset val="134"/>
    </font>
    <font>
      <b/>
      <sz val="9"/>
      <color rgb="FF000000"/>
      <name val="Arial"/>
      <charset val="134"/>
    </font>
    <font>
      <sz val="10"/>
      <name val="Dreaming Outloud Pro"/>
      <charset val="134"/>
    </font>
    <font>
      <sz val="10"/>
      <color rgb="FF000000"/>
      <name val="Dreaming Outloud Pro"/>
      <charset val="134"/>
    </font>
    <font>
      <sz val="12"/>
      <name val="Dreaming Outloud Pro"/>
      <charset val="134"/>
    </font>
    <font>
      <sz val="24"/>
      <name val="Dreaming Outloud Pro"/>
      <charset val="134"/>
    </font>
    <font>
      <b/>
      <sz val="9"/>
      <color rgb="FF000000"/>
      <name val="Dreaming Outloud Pro"/>
      <charset val="134"/>
    </font>
    <font>
      <sz val="9"/>
      <name val="Dreaming Outloud Pro"/>
      <charset val="134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6" fillId="3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5" borderId="9" applyNumberFormat="0" applyAlignment="0" applyProtection="0">
      <alignment vertical="center"/>
    </xf>
    <xf numFmtId="0" fontId="28" fillId="6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44">
    <xf numFmtId="0" fontId="0" fillId="0" borderId="0" xfId="0"/>
    <xf numFmtId="176" fontId="1" fillId="0" borderId="0" xfId="0" applyNumberFormat="1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0" borderId="0" xfId="6" applyFont="1"/>
    <xf numFmtId="0" fontId="3" fillId="2" borderId="0" xfId="0" applyFont="1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 indent="1"/>
    </xf>
    <xf numFmtId="0" fontId="1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/>
    </xf>
    <xf numFmtId="177" fontId="1" fillId="0" borderId="0" xfId="0" applyNumberFormat="1" applyFont="1" applyAlignment="1">
      <alignment horizontal="left" vertical="top" wrapText="1" indent="1"/>
    </xf>
    <xf numFmtId="0" fontId="0" fillId="0" borderId="0" xfId="0" applyAlignment="1">
      <alignment horizontal="right" vertical="top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179" fontId="6" fillId="0" borderId="4" xfId="0" applyNumberFormat="1" applyFont="1" applyBorder="1" applyAlignment="1">
      <alignment horizontal="center" vertical="center" wrapText="1"/>
    </xf>
    <xf numFmtId="178" fontId="6" fillId="0" borderId="4" xfId="0" applyNumberFormat="1" applyFont="1" applyBorder="1" applyAlignment="1">
      <alignment horizontal="right" vertical="center" wrapText="1"/>
    </xf>
    <xf numFmtId="49" fontId="0" fillId="0" borderId="0" xfId="0" applyNumberForma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49" fontId="11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76" fontId="14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center" wrapText="1"/>
    </xf>
    <xf numFmtId="176" fontId="14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220980</xdr:colOff>
      <xdr:row>0</xdr:row>
      <xdr:rowOff>0</xdr:rowOff>
    </xdr:from>
    <xdr:to>
      <xdr:col>8</xdr:col>
      <xdr:colOff>747857</xdr:colOff>
      <xdr:row>3</xdr:row>
      <xdr:rowOff>56515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36720" y="0"/>
          <a:ext cx="1760855" cy="7194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mail.empowerhub.com.au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1"/>
  <sheetViews>
    <sheetView tabSelected="1" workbookViewId="0">
      <selection activeCell="D13" sqref="D13"/>
    </sheetView>
  </sheetViews>
  <sheetFormatPr defaultColWidth="9" defaultRowHeight="13.8"/>
  <cols>
    <col min="1" max="1" width="13.6666666666667" customWidth="1"/>
    <col min="2" max="2" width="12.6666666666667" customWidth="1"/>
    <col min="3" max="3" width="7.22222222222222" customWidth="1"/>
    <col min="6" max="6" width="7" customWidth="1"/>
    <col min="9" max="9" width="11.2222222222222" customWidth="1"/>
  </cols>
  <sheetData>
    <row r="2" spans="1:9">
      <c r="A2" s="1"/>
    </row>
    <row r="3" ht="24.6" spans="1:9">
      <c r="A3" s="2" t="s">
        <v>0</v>
      </c>
      <c r="B3" s="3"/>
      <c r="C3" s="3"/>
      <c r="D3" s="3"/>
      <c r="E3" s="3"/>
      <c r="F3" s="3"/>
      <c r="G3" s="3"/>
      <c r="H3" s="3"/>
      <c r="I3" s="3"/>
    </row>
    <row r="4" ht="24.6" customHeight="1" spans="1:9">
      <c r="A4" s="3" t="s">
        <v>1</v>
      </c>
      <c r="B4" s="3"/>
      <c r="C4" s="3"/>
      <c r="D4" s="3"/>
      <c r="E4" s="3"/>
      <c r="F4" s="3"/>
      <c r="G4" s="3"/>
      <c r="H4" s="4" t="s">
        <v>2</v>
      </c>
      <c r="I4" s="3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 t="s">
        <v>3</v>
      </c>
      <c r="B6" s="3"/>
      <c r="C6" s="3"/>
      <c r="D6" s="3"/>
      <c r="E6" s="3"/>
      <c r="F6" s="3"/>
      <c r="G6" s="3" t="s">
        <v>4</v>
      </c>
      <c r="H6" s="3"/>
      <c r="I6" s="5" t="s">
        <v>5</v>
      </c>
    </row>
    <row r="7" spans="1:9">
      <c r="A7" s="3" t="s">
        <v>6</v>
      </c>
      <c r="B7" s="3"/>
      <c r="C7" s="3"/>
      <c r="D7" s="3"/>
      <c r="E7" s="3"/>
      <c r="F7" s="3"/>
      <c r="G7" s="3" t="s">
        <v>7</v>
      </c>
      <c r="H7" s="3"/>
      <c r="I7" s="5" t="s">
        <v>8</v>
      </c>
    </row>
    <row r="8" spans="1:9">
      <c r="A8" s="3" t="s">
        <v>9</v>
      </c>
      <c r="B8" s="3"/>
      <c r="C8" s="3"/>
      <c r="D8" s="3"/>
      <c r="E8" s="3"/>
      <c r="F8" s="3"/>
      <c r="G8" s="3"/>
      <c r="H8" s="3"/>
      <c r="I8" s="3"/>
    </row>
    <row r="9" spans="1:9">
      <c r="A9" s="6" t="s">
        <v>10</v>
      </c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7" t="s">
        <v>11</v>
      </c>
      <c r="B11" s="7"/>
      <c r="C11" s="7"/>
      <c r="D11" s="7"/>
      <c r="E11" s="7"/>
      <c r="F11" s="7"/>
      <c r="G11" s="7"/>
      <c r="H11" s="7"/>
      <c r="I11" s="7"/>
    </row>
    <row r="12" ht="27.6" spans="1:9">
      <c r="A12" t="s">
        <v>12</v>
      </c>
      <c r="B12" s="8" t="s">
        <v>13</v>
      </c>
    </row>
    <row r="13" ht="27.6" spans="1:9">
      <c r="A13" s="8" t="s">
        <v>14</v>
      </c>
      <c r="B13" s="8">
        <v>538834560</v>
      </c>
    </row>
    <row r="14" spans="1:9">
      <c r="A14" s="8"/>
      <c r="B14" s="8"/>
    </row>
    <row r="15" ht="24" spans="1:9">
      <c r="A15" s="9" t="s">
        <v>15</v>
      </c>
      <c r="B15" s="8"/>
      <c r="C15" s="8"/>
      <c r="D15" s="10" t="s">
        <v>16</v>
      </c>
      <c r="E15" s="8"/>
      <c r="G15" s="11" t="s">
        <v>17</v>
      </c>
      <c r="H15" s="12" t="s">
        <v>18</v>
      </c>
      <c r="I15" s="13" t="s">
        <v>19</v>
      </c>
    </row>
    <row r="16" ht="30" customHeight="1" spans="1:9">
      <c r="A16" s="14" t="s">
        <v>20</v>
      </c>
      <c r="B16" s="15"/>
      <c r="C16" s="15"/>
      <c r="D16" s="16" t="s">
        <v>21</v>
      </c>
      <c r="E16" s="17"/>
      <c r="F16" s="17"/>
      <c r="G16" s="17">
        <v>60</v>
      </c>
      <c r="H16" s="17">
        <v>3</v>
      </c>
      <c r="I16" s="18">
        <f>G16*H16</f>
        <v>180</v>
      </c>
    </row>
    <row r="17" ht="30" customHeight="1" spans="1:9">
      <c r="A17" s="14" t="s">
        <v>22</v>
      </c>
      <c r="B17" s="15"/>
      <c r="C17" s="15"/>
      <c r="D17" s="16" t="s">
        <v>21</v>
      </c>
      <c r="E17" s="17"/>
      <c r="F17" s="17"/>
      <c r="G17" s="17">
        <v>60</v>
      </c>
      <c r="H17" s="17">
        <v>3</v>
      </c>
      <c r="I17" s="18">
        <f t="shared" ref="I17:I21" si="0">G17*H17</f>
        <v>180</v>
      </c>
    </row>
    <row r="18" ht="30" customHeight="1" spans="1:9">
      <c r="A18" s="14" t="s">
        <v>23</v>
      </c>
      <c r="B18" s="15"/>
      <c r="C18" s="15"/>
      <c r="D18" s="16" t="s">
        <v>21</v>
      </c>
      <c r="E18" s="17"/>
      <c r="F18" s="17"/>
      <c r="G18" s="17">
        <v>60</v>
      </c>
      <c r="H18" s="17">
        <v>3</v>
      </c>
      <c r="I18" s="18">
        <f t="shared" si="0"/>
        <v>180</v>
      </c>
    </row>
    <row r="19" ht="30" customHeight="1" spans="1:9">
      <c r="A19" s="14" t="s">
        <v>24</v>
      </c>
      <c r="B19" s="15"/>
      <c r="C19" s="15"/>
      <c r="D19" s="16" t="s">
        <v>21</v>
      </c>
      <c r="E19" s="17"/>
      <c r="F19" s="17"/>
      <c r="G19" s="17">
        <v>75</v>
      </c>
      <c r="H19" s="17">
        <v>3</v>
      </c>
      <c r="I19" s="18">
        <f t="shared" si="0"/>
        <v>225</v>
      </c>
    </row>
    <row r="20" ht="30" customHeight="1" spans="1:9">
      <c r="A20" s="19" t="s">
        <v>25</v>
      </c>
      <c r="B20" s="20"/>
      <c r="C20" s="20"/>
      <c r="D20" s="21" t="s">
        <v>26</v>
      </c>
      <c r="E20" s="22"/>
      <c r="F20" s="22"/>
      <c r="G20" s="22">
        <v>60</v>
      </c>
      <c r="H20" s="22">
        <v>3</v>
      </c>
      <c r="I20" s="18">
        <f t="shared" si="0"/>
        <v>180</v>
      </c>
    </row>
    <row r="21" ht="30" customHeight="1" spans="1:9">
      <c r="A21" s="23" t="s">
        <v>27</v>
      </c>
      <c r="B21" s="24"/>
      <c r="C21" s="24"/>
      <c r="D21" s="25" t="s">
        <v>26</v>
      </c>
      <c r="E21" s="26"/>
      <c r="F21" s="26"/>
      <c r="G21" s="26">
        <v>60</v>
      </c>
      <c r="H21" s="26">
        <v>3</v>
      </c>
      <c r="I21" s="18">
        <f t="shared" si="0"/>
        <v>180</v>
      </c>
    </row>
    <row r="22" ht="30" customHeight="1" spans="1:9">
      <c r="A22" s="27"/>
      <c r="B22" s="28"/>
      <c r="C22" s="24"/>
      <c r="D22" s="25"/>
      <c r="E22" s="26"/>
      <c r="F22" s="29" t="s">
        <v>28</v>
      </c>
      <c r="G22" s="26"/>
      <c r="H22" s="30">
        <f>SUM(H16:H21)</f>
        <v>18</v>
      </c>
      <c r="I22" s="31">
        <f>SUM(I16:I21)</f>
        <v>1125</v>
      </c>
    </row>
    <row r="23" spans="1:9">
      <c r="A23" s="32"/>
      <c r="B23" s="32"/>
      <c r="C23" s="32"/>
      <c r="D23" s="32"/>
      <c r="E23" s="32"/>
      <c r="F23" s="32"/>
      <c r="G23" s="32"/>
      <c r="H23" s="32"/>
      <c r="I23" s="32"/>
    </row>
    <row r="24" spans="1:9">
      <c r="A24" s="33" t="s">
        <v>29</v>
      </c>
      <c r="B24" s="34"/>
      <c r="C24" s="34"/>
      <c r="D24" s="34"/>
      <c r="E24" s="34"/>
      <c r="F24" s="34"/>
      <c r="G24" s="34"/>
      <c r="H24" s="34"/>
      <c r="I24" s="34"/>
    </row>
    <row r="25" spans="1:9">
      <c r="A25" s="35" t="s">
        <v>30</v>
      </c>
      <c r="B25" s="35"/>
      <c r="C25" s="35"/>
      <c r="D25" s="35"/>
      <c r="E25" s="35"/>
      <c r="F25" s="35"/>
      <c r="G25" s="35"/>
      <c r="H25" s="35"/>
      <c r="I25" s="35"/>
    </row>
    <row r="26" spans="1:9">
      <c r="A26" s="35" t="s">
        <v>31</v>
      </c>
      <c r="B26" s="35" t="s">
        <v>32</v>
      </c>
      <c r="C26" s="35"/>
      <c r="D26" s="35"/>
      <c r="E26" s="35"/>
      <c r="F26" s="35"/>
      <c r="G26" s="35"/>
      <c r="H26" s="35"/>
      <c r="I26" s="35"/>
    </row>
    <row r="27" spans="1:9">
      <c r="A27" s="33" t="s">
        <v>33</v>
      </c>
      <c r="B27" s="34"/>
      <c r="C27" s="34"/>
      <c r="D27" s="34"/>
      <c r="E27" s="34"/>
      <c r="F27" s="34"/>
      <c r="G27" s="34"/>
      <c r="H27" s="34"/>
      <c r="I27" s="34"/>
    </row>
    <row r="28" spans="1:9">
      <c r="A28" s="36" t="s">
        <v>34</v>
      </c>
      <c r="B28" s="34"/>
      <c r="C28" s="34"/>
      <c r="D28" s="34"/>
      <c r="E28" s="34"/>
      <c r="F28" s="34"/>
      <c r="G28" s="34"/>
      <c r="H28" s="34"/>
      <c r="I28" s="34"/>
    </row>
    <row r="29" spans="1:9">
      <c r="A29" s="36"/>
      <c r="B29" s="34"/>
      <c r="C29" s="34"/>
      <c r="D29" s="34"/>
      <c r="E29" s="34"/>
      <c r="F29" s="34"/>
      <c r="G29" s="34"/>
      <c r="H29" s="34"/>
      <c r="I29" s="34"/>
    </row>
    <row r="30" ht="30" spans="1:9">
      <c r="A30" s="37" t="s">
        <v>35</v>
      </c>
      <c r="B30" s="38"/>
      <c r="C30" s="39"/>
      <c r="D30" s="40"/>
      <c r="E30" s="40"/>
      <c r="F30" s="40"/>
      <c r="G30" s="40"/>
      <c r="H30" s="40"/>
      <c r="I30" s="40"/>
    </row>
    <row r="31" ht="30" spans="1:9">
      <c r="A31" s="41" t="s">
        <v>36</v>
      </c>
      <c r="B31" s="38"/>
      <c r="C31" s="42"/>
      <c r="D31" s="40"/>
      <c r="E31" s="40"/>
      <c r="F31" s="40"/>
      <c r="G31" s="40"/>
      <c r="H31" s="43"/>
      <c r="I31" s="40"/>
    </row>
  </sheetData>
  <mergeCells count="24">
    <mergeCell ref="B15:C15"/>
    <mergeCell ref="D15:E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3:B23"/>
    <mergeCell ref="A24:I24"/>
    <mergeCell ref="A25:I25"/>
    <mergeCell ref="B26:H26"/>
    <mergeCell ref="A27:I27"/>
    <mergeCell ref="A28:I28"/>
    <mergeCell ref="C30:E30"/>
    <mergeCell ref="H30:I30"/>
    <mergeCell ref="C31:F31"/>
    <mergeCell ref="H31:I31"/>
  </mergeCells>
  <hyperlinks>
    <hyperlink ref="A9" r:id="rId2" display="admin@mail.empowerhub.com.au" tooltip="mailto:admin@mail.empowerhub.com.au"/>
  </hyperlink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zhao</dc:creator>
  <cp:lastModifiedBy>尽ミ初</cp:lastModifiedBy>
  <dcterms:created xsi:type="dcterms:W3CDTF">2026-01-23T05:28:00Z</dcterms:created>
  <cp:lastPrinted>2026-01-23T05:55:00Z</cp:lastPrinted>
  <dcterms:modified xsi:type="dcterms:W3CDTF">2026-02-02T15:14:44Z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11C9CE1773F74FE88B2FFEFE6FE3107A_12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